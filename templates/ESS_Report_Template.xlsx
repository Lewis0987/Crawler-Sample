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wer Trend" sheetId="2" state="visible" r:id="rId2"/>
    <sheet name="Energy Counter" sheetId="3" state="visible" r:id="rId3"/>
    <sheet name="Power + Energy" sheetId="4" state="visible" r:id="rId4"/>
    <sheet name="Raw Data" sheetId="5" state="visible" r:id="rId5"/>
  </sheets>
  <definedNames>
    <definedName name="ESS_ReportDate">Summary!$B$6</definedName>
    <definedName name="ESS_StartTime">Summary!$B$7</definedName>
    <definedName name="ESS_EndTime">Summary!$B$8</definedName>
    <definedName name="ESS_Duration">Summary!$B$9</definedName>
    <definedName name="ESS_MaxChargePower">Summary!$B$11</definedName>
    <definedName name="ESS_MaxDischargePower">Summary!$B$12</definedName>
    <definedName name="ESS_AvgPower">Summary!$B$13</definedName>
    <definedName name="ESS_ChargeEnergy">Summary!$B$15</definedName>
    <definedName name="ESS_DischargeEnergy">Summary!$B$16</definedName>
    <definedName name="ESS_NetEnergy">Summary!$B$17</definedName>
    <definedName name="ESS_StartKWhPlus">Summary!$B$19</definedName>
    <definedName name="ESS_EndKWhPlus">Summary!$B$20</definedName>
    <definedName name="ESS_StartKWhMinus">Summary!$B$21</definedName>
    <definedName name="ESS_EndKWhMinus">Summary!$B$22</definedName>
    <definedName name="ESS_RawFirstRow">'Raw Data'!$A$2</definedName>
    <definedName name="ESS_BaselineX">'Raw Data'!$F$3:$F$4</definedName>
    <definedName name="_xlnm.Print_Area" localSheetId="0">'Summary'!$A$1:$D$28</definedName>
    <definedName name="_xlnm.Print_Area" localSheetId="1">'Power Trend'!$A$1:$R$32</definedName>
    <definedName name="_xlnm.Print_Area" localSheetId="2">'Energy Counter'!$A$1:$R$32</definedName>
    <definedName name="_xlnm.Print_Area" localSheetId="3">'Power + Energy'!$A$1:$R$34</definedName>
    <definedName name="_xlnm.Print_Titles" localSheetId="4">'Raw Data'!$1:$1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:ss"/>
    <numFmt numFmtId="166" formatCode="#,##0.0"/>
    <numFmt numFmtId="167" formatCode="yyyy-mm-dd h:mm:ss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D9E2F3"/>
      <sz val="9"/>
    </font>
    <font>
      <name val="Calibri"/>
      <b val="1"/>
      <color rgb="001F3864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color rgb="001F3864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5" fillId="5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right" vertical="center"/>
    </xf>
    <xf numFmtId="46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50" b="1">
                <a:solidFill>
                  <a:srgbClr val="1F3864"/>
                </a:solidFill>
              </a:defRPr>
            </a:pPr>
            <a:r>
              <a:rPr sz="1250" b="1">
                <a:solidFill>
                  <a:srgbClr val="1F3864"/>
                </a:solidFill>
              </a:rPr>
              <a:t>Power Trend (kW)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strRef>
              <f>'Raw Data'!B1</f>
            </strRef>
          </tx>
          <spPr>
            <a:ln w="1905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'Raw Data'!$A$2:$A$181</f>
            </numRef>
          </xVal>
          <yVal>
            <numRef>
              <f>'Raw Data'!$B$2:$B$181</f>
            </numRef>
          </yVal>
          <smooth val="0"/>
        </ser>
        <ser>
          <idx val="1"/>
          <order val="1"/>
          <tx>
            <v>0 kW Baseline</v>
          </tx>
          <spPr>
            <a:ln w="12700">
              <a:solidFill>
                <a:srgbClr val="A6A6A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'Raw Data'!$F$3:$F$4</f>
            </numRef>
          </xVal>
          <yVal>
            <numRef>
              <f>'Raw Data'!$G$3:$G$4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000" b="1">
                    <a:solidFill>
                      <a:srgbClr val="1F3864"/>
                    </a:solidFill>
                  </a:defRPr>
                </a:pPr>
                <a:r>
                  <a:rPr sz="1000" b="1">
                    <a:solidFill>
                      <a:srgbClr val="1F3864"/>
                    </a:solidFill>
                  </a:rPr>
                  <a:t>Timestamp</a:t>
                </a:r>
              </a:p>
            </rich>
          </tx>
          <overlay val="0"/>
        </title>
        <numFmt formatCode="hh:mm" sourceLinked="0"/>
        <majorTickMark val="out"/>
        <minorTickMark val="none"/>
        <tickLblPos val="low"/>
        <txPr>
          <a:bodyPr rot="0" vert="horz"/>
          <a:p>
            <a:pPr>
              <a:defRPr sz="900"/>
            </a:pPr>
            <a:endParaRPr sz="900"/>
          </a:p>
        </txPr>
        <crossAx val="20"/>
        <crosses val="min"/>
      </valAx>
      <valAx>
        <axId val="20"/>
        <scaling>
          <orientation val="minMax"/>
          <max val="300"/>
          <min val="-360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rot="-5400000" vert="horz"/>
              <a:p>
                <a:pPr>
                  <a:defRPr sz="1000" b="1">
                    <a:solidFill>
                      <a:srgbClr val="1F3864"/>
                    </a:solidFill>
                  </a:defRPr>
                </a:pPr>
                <a:r>
                  <a:rPr sz="1000" b="1">
                    <a:solidFill>
                      <a:srgbClr val="1F3864"/>
                    </a:solidFill>
                  </a:rPr>
                  <a:t>Power (kW)</a:t>
                </a:r>
              </a:p>
            </rich>
          </tx>
          <overlay val="0"/>
        </title>
        <numFmt formatCode="#,##0" sourceLinked="0"/>
        <majorTickMark val="out"/>
        <minorTickMark val="none"/>
        <txPr>
          <a:bodyPr vert="horz"/>
          <a:p>
            <a:pPr>
              <a:defRPr sz="900"/>
            </a:pPr>
            <a:endParaRPr sz="900"/>
          </a:p>
        </txPr>
        <crossAx val="10"/>
        <crosses val="autoZero"/>
      </valAx>
    </plotArea>
    <legend>
      <legendPos val="t"/>
      <overlay val="0"/>
      <txPr>
        <a:bodyPr vert="horz"/>
        <a:p>
          <a:pPr>
            <a:defRPr sz="900"/>
          </a:pPr>
          <a:endParaRPr sz="900"/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50" b="1">
                <a:solidFill>
                  <a:srgbClr val="1F3864"/>
                </a:solidFill>
              </a:defRPr>
            </a:pPr>
            <a:r>
              <a:rPr sz="1250" b="1">
                <a:solidFill>
                  <a:srgbClr val="1F3864"/>
                </a:solidFill>
              </a:rPr>
              <a:t>Energy Counter (kWh)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strRef>
              <f>'Raw Data'!C1</f>
            </strRef>
          </tx>
          <spPr>
            <a:ln w="1905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'Raw Data'!$A$2:$A$181</f>
            </numRef>
          </xVal>
          <yVal>
            <numRef>
              <f>'Raw Data'!$C$2:$C$181</f>
            </numRef>
          </yVal>
          <smooth val="0"/>
        </ser>
        <ser>
          <idx val="1"/>
          <order val="1"/>
          <tx>
            <strRef>
              <f>'Raw Data'!D1</f>
            </strRef>
          </tx>
          <spPr>
            <a:ln w="1905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'Raw Data'!$A$2:$A$181</f>
            </numRef>
          </xVal>
          <yVal>
            <numRef>
              <f>'Raw Data'!$D$2:$D$181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000" b="1">
                    <a:solidFill>
                      <a:srgbClr val="1F3864"/>
                    </a:solidFill>
                  </a:defRPr>
                </a:pPr>
                <a:r>
                  <a:rPr sz="1000" b="1">
                    <a:solidFill>
                      <a:srgbClr val="1F3864"/>
                    </a:solidFill>
                  </a:rPr>
                  <a:t>Timestamp</a:t>
                </a:r>
              </a:p>
            </rich>
          </tx>
          <overlay val="0"/>
        </title>
        <numFmt formatCode="hh:mm" sourceLinked="0"/>
        <majorTickMark val="out"/>
        <minorTickMark val="none"/>
        <tickLblPos val="low"/>
        <txPr>
          <a:bodyPr rot="0" vert="horz"/>
          <a:p>
            <a:pPr>
              <a:defRPr sz="900"/>
            </a:pPr>
            <a:endParaRPr sz="900"/>
          </a:p>
        </txPr>
        <crossAx val="20"/>
        <crosses val="min"/>
      </valAx>
      <valAx>
        <axId val="20"/>
        <scaling>
          <orientation val="minMax"/>
          <max val="107500"/>
          <min val="88000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rot="-5400000" vert="horz"/>
              <a:p>
                <a:pPr>
                  <a:defRPr sz="1000" b="1">
                    <a:solidFill>
                      <a:srgbClr val="1F3864"/>
                    </a:solidFill>
                  </a:defRPr>
                </a:pPr>
                <a:r>
                  <a:rPr sz="1000" b="1">
                    <a:solidFill>
                      <a:srgbClr val="1F3864"/>
                    </a:solidFill>
                  </a:rPr>
                  <a:t>Energy (kWh)</a:t>
                </a:r>
              </a:p>
            </rich>
          </tx>
          <overlay val="0"/>
        </title>
        <numFmt formatCode="#,##0" sourceLinked="0"/>
        <majorTickMark val="out"/>
        <minorTickMark val="none"/>
        <txPr>
          <a:bodyPr vert="horz"/>
          <a:p>
            <a:pPr>
              <a:defRPr sz="900"/>
            </a:pPr>
            <a:endParaRPr sz="900"/>
          </a:p>
        </txPr>
        <crossAx val="10"/>
        <crosses val="autoZero"/>
      </valAx>
    </plotArea>
    <legend>
      <legendPos val="t"/>
      <overlay val="0"/>
      <txPr>
        <a:bodyPr vert="horz"/>
        <a:p>
          <a:pPr>
            <a:defRPr sz="900"/>
          </a:pPr>
          <a:endParaRPr sz="900"/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50" b="1">
                <a:solidFill>
                  <a:srgbClr val="1F3864"/>
                </a:solidFill>
              </a:defRPr>
            </a:pPr>
            <a:r>
              <a:rPr sz="1250" b="1">
                <a:solidFill>
                  <a:srgbClr val="1F3864"/>
                </a:solidFill>
              </a:rPr>
              <a:t>Power and Energy Overview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strRef>
              <f>'Raw Data'!B1</f>
            </strRef>
          </tx>
          <spPr>
            <a:ln w="1905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'Raw Data'!$A$2:$A$181</f>
            </numRef>
          </xVal>
          <yVal>
            <numRef>
              <f>'Raw Data'!$B$2:$B$181</f>
            </numRef>
          </yVal>
          <smooth val="0"/>
        </ser>
        <axId val="10"/>
        <axId val="100"/>
      </scatterChart>
      <scatterChart>
        <scatterStyle val="lineMarker"/>
        <ser>
          <idx val="1"/>
          <order val="1"/>
          <tx>
            <strRef>
              <f>'Raw Data'!C1</f>
            </strRef>
          </tx>
          <spPr>
            <a:ln w="15875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'Raw Data'!$A$2:$A$181</f>
            </numRef>
          </xVal>
          <yVal>
            <numRef>
              <f>'Raw Data'!$C$2:$C$181</f>
            </numRef>
          </yVal>
          <smooth val="0"/>
        </ser>
        <ser>
          <idx val="2"/>
          <order val="2"/>
          <tx>
            <strRef>
              <f>'Raw Data'!D1</f>
            </strRef>
          </tx>
          <spPr>
            <a:ln w="15875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'Raw Data'!$A$2:$A$181</f>
            </numRef>
          </xVal>
          <yVal>
            <numRef>
              <f>'Raw Data'!$D$2:$D$181</f>
            </numRef>
          </yVal>
          <smooth val="0"/>
        </ser>
        <axId val="300"/>
        <axId val="20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000" b="1">
                    <a:solidFill>
                      <a:srgbClr val="1F3864"/>
                    </a:solidFill>
                  </a:defRPr>
                </a:pPr>
                <a:r>
                  <a:rPr sz="1000" b="1">
                    <a:solidFill>
                      <a:srgbClr val="1F3864"/>
                    </a:solidFill>
                  </a:rPr>
                  <a:t>Timestamp</a:t>
                </a:r>
              </a:p>
            </rich>
          </tx>
          <overlay val="0"/>
        </title>
        <numFmt formatCode="hh:mm" sourceLinked="0"/>
        <majorTickMark val="out"/>
        <minorTickMark val="none"/>
        <tickLblPos val="low"/>
        <txPr>
          <a:bodyPr rot="0" vert="horz"/>
          <a:p>
            <a:pPr>
              <a:defRPr sz="900"/>
            </a:pPr>
            <a:endParaRPr sz="900"/>
          </a:p>
        </txPr>
        <crossAx val="100"/>
        <crosses val="min"/>
      </valAx>
      <valAx>
        <axId val="100"/>
        <scaling>
          <orientation val="minMax"/>
          <max val="300"/>
          <min val="-360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rot="-5400000" vert="horz"/>
              <a:p>
                <a:pPr>
                  <a:defRPr sz="1000" b="1">
                    <a:solidFill>
                      <a:srgbClr val="1F3864"/>
                    </a:solidFill>
                  </a:defRPr>
                </a:pPr>
                <a:r>
                  <a:rPr sz="1000" b="1">
                    <a:solidFill>
                      <a:srgbClr val="1F3864"/>
                    </a:solidFill>
                  </a:rPr>
                  <a:t>Power (kW)</a:t>
                </a:r>
              </a:p>
            </rich>
          </tx>
          <overlay val="0"/>
        </title>
        <numFmt formatCode="#,##0" sourceLinked="0"/>
        <majorTickMark val="out"/>
        <minorTickMark val="none"/>
        <txPr>
          <a:bodyPr vert="horz"/>
          <a:p>
            <a:pPr>
              <a:defRPr sz="900"/>
            </a:pPr>
            <a:endParaRPr sz="900"/>
          </a:p>
        </txPr>
        <crossAx val="10"/>
        <crosses val="autoZero"/>
      </valAx>
      <valAx>
        <axId val="300"/>
        <scaling>
          <orientation val="minMax"/>
        </scaling>
        <delete val="1"/>
        <axPos val="l"/>
        <majorTickMark val="none"/>
        <minorTickMark val="none"/>
        <crossAx val="200"/>
      </valAx>
      <valAx>
        <axId val="200"/>
        <scaling>
          <orientation val="minMax"/>
          <max val="107500"/>
          <min val="88000"/>
        </scaling>
        <delete val="0"/>
        <axPos val="l"/>
        <title>
          <tx>
            <rich>
              <a:bodyPr rot="-5400000" vert="horz"/>
              <a:p>
                <a:pPr>
                  <a:defRPr sz="1000" b="1">
                    <a:solidFill>
                      <a:srgbClr val="1F3864"/>
                    </a:solidFill>
                  </a:defRPr>
                </a:pPr>
                <a:r>
                  <a:rPr sz="1000" b="1">
                    <a:solidFill>
                      <a:srgbClr val="1F3864"/>
                    </a:solidFill>
                  </a:rPr>
                  <a:t>Energy (kWh)</a:t>
                </a:r>
              </a:p>
            </rich>
          </tx>
          <overlay val="0"/>
        </title>
        <numFmt formatCode="#,##0" sourceLinked="0"/>
        <majorTickMark val="out"/>
        <minorTickMark val="none"/>
        <txPr>
          <a:bodyPr vert="horz"/>
          <a:p>
            <a:pPr>
              <a:defRPr sz="900"/>
            </a:pPr>
            <a:endParaRPr sz="900"/>
          </a:p>
        </txPr>
        <crossAx val="300"/>
        <crosses val="max"/>
      </valAx>
    </plotArea>
    <legend>
      <legendPos val="t"/>
      <overlay val="0"/>
      <txPr>
        <a:bodyPr vert="horz"/>
        <a:p>
          <a:pPr>
            <a:defRPr sz="900"/>
          </a:pPr>
          <a:endParaRPr sz="900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116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4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116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Data" displayName="RawData" ref="A1:D181" headerRowCount="1">
  <autoFilter ref="A1:D181"/>
  <tableColumns count="4">
    <tableColumn id="1" name="Timestamp"/>
    <tableColumn id="2" name="kW"/>
    <tableColumn id="3" name="kWh+"/>
    <tableColumn id="4" name="kWh-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D28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10" customWidth="1" min="3" max="3"/>
    <col width="44" customWidth="1" min="4" max="4"/>
  </cols>
  <sheetData>
    <row r="1" ht="30" customHeight="1">
      <c r="A1" s="1" t="inlineStr">
        <is>
          <t>ESS Charge / Discharge Report</t>
        </is>
      </c>
      <c r="B1" s="2" t="n"/>
      <c r="C1" s="2" t="n"/>
      <c r="D1" s="2" t="n"/>
    </row>
    <row r="2" ht="15" customHeight="1">
      <c r="A2" s="3" t="inlineStr">
        <is>
          <t>Energy Storage System  ·  Meter Log Analysis  ·  Template v1.0</t>
        </is>
      </c>
      <c r="B2" s="2" t="n"/>
      <c r="C2" s="2" t="n"/>
      <c r="D2" s="2" t="n"/>
    </row>
    <row r="3" ht="8" customHeight="1"/>
    <row r="4" ht="18" customHeight="1">
      <c r="A4" s="4" t="inlineStr">
        <is>
          <t>Item</t>
        </is>
      </c>
      <c r="B4" s="5" t="inlineStr">
        <is>
          <t>Value</t>
        </is>
      </c>
      <c r="C4" s="5" t="inlineStr">
        <is>
          <t>Unit</t>
        </is>
      </c>
      <c r="D4" s="5" t="inlineStr">
        <is>
          <t>Remark</t>
        </is>
      </c>
    </row>
    <row r="5" ht="18" customHeight="1">
      <c r="A5" s="6" t="inlineStr">
        <is>
          <t>1. Test Period / 測試區間</t>
        </is>
      </c>
      <c r="B5" s="7" t="n"/>
      <c r="C5" s="7" t="n"/>
      <c r="D5" s="7" t="n"/>
    </row>
    <row r="6" ht="19" customHeight="1">
      <c r="A6" s="8" t="inlineStr">
        <is>
          <t>Report Date / 報表日期</t>
        </is>
      </c>
      <c r="B6" s="9" t="inlineStr">
        <is>
          <t>—</t>
        </is>
      </c>
      <c r="C6" s="10" t="inlineStr"/>
      <c r="D6" s="11" t="inlineStr">
        <is>
          <t>Log date</t>
        </is>
      </c>
    </row>
    <row r="7" ht="19" customHeight="1">
      <c r="A7" s="8" t="inlineStr">
        <is>
          <t>Start Time / 開始時間</t>
        </is>
      </c>
      <c r="B7" s="12" t="inlineStr">
        <is>
          <t>—</t>
        </is>
      </c>
      <c r="C7" s="10" t="inlineStr"/>
      <c r="D7" s="11" t="inlineStr">
        <is>
          <t>First timestamp in Raw Data</t>
        </is>
      </c>
    </row>
    <row r="8" ht="19" customHeight="1">
      <c r="A8" s="8" t="inlineStr">
        <is>
          <t>End Time / 結束時間</t>
        </is>
      </c>
      <c r="B8" s="12" t="inlineStr">
        <is>
          <t>—</t>
        </is>
      </c>
      <c r="C8" s="10" t="inlineStr"/>
      <c r="D8" s="11" t="inlineStr">
        <is>
          <t>Last timestamp in Raw Data</t>
        </is>
      </c>
    </row>
    <row r="9" ht="19" customHeight="1">
      <c r="A9" s="8" t="inlineStr">
        <is>
          <t>Duration / 持續時間</t>
        </is>
      </c>
      <c r="B9" s="13" t="inlineStr">
        <is>
          <t>—</t>
        </is>
      </c>
      <c r="C9" s="10" t="inlineStr">
        <is>
          <t>hh:mm:ss</t>
        </is>
      </c>
      <c r="D9" s="11" t="inlineStr">
        <is>
          <t>End Time - Start Time</t>
        </is>
      </c>
    </row>
    <row r="10" ht="18" customHeight="1">
      <c r="A10" s="6" t="inlineStr">
        <is>
          <t>2. Power / 功率</t>
        </is>
      </c>
      <c r="B10" s="7" t="n"/>
      <c r="C10" s="7" t="n"/>
      <c r="D10" s="7" t="n"/>
    </row>
    <row r="11" ht="19" customHeight="1">
      <c r="A11" s="8" t="inlineStr">
        <is>
          <t>Max Charge Power / 最大充電功率</t>
        </is>
      </c>
      <c r="B11" s="14" t="inlineStr">
        <is>
          <t>—</t>
        </is>
      </c>
      <c r="C11" s="10" t="inlineStr">
        <is>
          <t>kW</t>
        </is>
      </c>
      <c r="D11" s="11" t="inlineStr">
        <is>
          <t>MAX(kW), kW &gt; 0</t>
        </is>
      </c>
    </row>
    <row r="12" ht="19" customHeight="1">
      <c r="A12" s="8" t="inlineStr">
        <is>
          <t>Max Discharge Power / 最大放電功率</t>
        </is>
      </c>
      <c r="B12" s="14" t="inlineStr">
        <is>
          <t>—</t>
        </is>
      </c>
      <c r="C12" s="10" t="inlineStr">
        <is>
          <t>kW</t>
        </is>
      </c>
      <c r="D12" s="11" t="inlineStr">
        <is>
          <t>MIN(kW), kW &lt; 0</t>
        </is>
      </c>
    </row>
    <row r="13" ht="19" customHeight="1">
      <c r="A13" s="8" t="inlineStr">
        <is>
          <t>Average Power / 平均功率</t>
        </is>
      </c>
      <c r="B13" s="14" t="inlineStr">
        <is>
          <t>—</t>
        </is>
      </c>
      <c r="C13" s="10" t="inlineStr">
        <is>
          <t>kW</t>
        </is>
      </c>
      <c r="D13" s="11" t="inlineStr">
        <is>
          <t>AVERAGE(kW) over full period</t>
        </is>
      </c>
    </row>
    <row r="14" ht="18" customHeight="1">
      <c r="A14" s="6" t="inlineStr">
        <is>
          <t>3. Session Energy / 本次電量</t>
        </is>
      </c>
      <c r="B14" s="7" t="n"/>
      <c r="C14" s="7" t="n"/>
      <c r="D14" s="7" t="n"/>
    </row>
    <row r="15" ht="19" customHeight="1">
      <c r="A15" s="8" t="inlineStr">
        <is>
          <t>Charge Energy / 本次充電量</t>
        </is>
      </c>
      <c r="B15" s="14" t="inlineStr">
        <is>
          <t>—</t>
        </is>
      </c>
      <c r="C15" s="10" t="inlineStr">
        <is>
          <t>kWh</t>
        </is>
      </c>
      <c r="D15" s="11" t="inlineStr">
        <is>
          <t>End kWh+  -  Start kWh+</t>
        </is>
      </c>
    </row>
    <row r="16" ht="19" customHeight="1">
      <c r="A16" s="8" t="inlineStr">
        <is>
          <t>Discharge Energy / 本次放電量</t>
        </is>
      </c>
      <c r="B16" s="14" t="inlineStr">
        <is>
          <t>—</t>
        </is>
      </c>
      <c r="C16" s="10" t="inlineStr">
        <is>
          <t>kWh</t>
        </is>
      </c>
      <c r="D16" s="11" t="inlineStr">
        <is>
          <t>End kWh-  -  Start kWh-</t>
        </is>
      </c>
    </row>
    <row r="17" ht="19" customHeight="1">
      <c r="A17" s="8" t="inlineStr">
        <is>
          <t>Net Energy / 本次淨電量</t>
        </is>
      </c>
      <c r="B17" s="14" t="inlineStr">
        <is>
          <t>—</t>
        </is>
      </c>
      <c r="C17" s="10" t="inlineStr">
        <is>
          <t>kWh</t>
        </is>
      </c>
      <c r="D17" s="11" t="inlineStr">
        <is>
          <t>Charge Energy  -  Discharge Energy</t>
        </is>
      </c>
    </row>
    <row r="18" ht="18" customHeight="1">
      <c r="A18" s="6" t="inlineStr">
        <is>
          <t>4. Meter Counter / 電表累計值</t>
        </is>
      </c>
      <c r="B18" s="7" t="n"/>
      <c r="C18" s="7" t="n"/>
      <c r="D18" s="7" t="n"/>
    </row>
    <row r="19" ht="19" customHeight="1">
      <c r="A19" s="8" t="inlineStr">
        <is>
          <t>Start kWh+ / 起始 kWh+</t>
        </is>
      </c>
      <c r="B19" s="15" t="inlineStr">
        <is>
          <t>—</t>
        </is>
      </c>
      <c r="C19" s="10" t="inlineStr">
        <is>
          <t>kWh</t>
        </is>
      </c>
      <c r="D19" s="11" t="inlineStr">
        <is>
          <t>First kWh+ value</t>
        </is>
      </c>
    </row>
    <row r="20" ht="19" customHeight="1">
      <c r="A20" s="8" t="inlineStr">
        <is>
          <t>End kWh+ / 結束 kWh+</t>
        </is>
      </c>
      <c r="B20" s="15" t="inlineStr">
        <is>
          <t>—</t>
        </is>
      </c>
      <c r="C20" s="10" t="inlineStr">
        <is>
          <t>kWh</t>
        </is>
      </c>
      <c r="D20" s="11" t="inlineStr">
        <is>
          <t>Last kWh+ value</t>
        </is>
      </c>
    </row>
    <row r="21" ht="19" customHeight="1">
      <c r="A21" s="8" t="inlineStr">
        <is>
          <t>Start kWh- / 起始 kWh-</t>
        </is>
      </c>
      <c r="B21" s="15" t="inlineStr">
        <is>
          <t>—</t>
        </is>
      </c>
      <c r="C21" s="10" t="inlineStr">
        <is>
          <t>kWh</t>
        </is>
      </c>
      <c r="D21" s="11" t="inlineStr">
        <is>
          <t>First kWh- value</t>
        </is>
      </c>
    </row>
    <row r="22" ht="19" customHeight="1">
      <c r="A22" s="8" t="inlineStr">
        <is>
          <t>End kWh- / 結束 kWh-</t>
        </is>
      </c>
      <c r="B22" s="15" t="inlineStr">
        <is>
          <t>—</t>
        </is>
      </c>
      <c r="C22" s="10" t="inlineStr">
        <is>
          <t>kWh</t>
        </is>
      </c>
      <c r="D22" s="11" t="inlineStr">
        <is>
          <t>Last kWh- value</t>
        </is>
      </c>
    </row>
    <row r="23" ht="8" customHeight="1"/>
    <row r="24" ht="18" customHeight="1">
      <c r="A24" s="6" t="inlineStr">
        <is>
          <t>Notes / 說明</t>
        </is>
      </c>
      <c r="B24" s="7" t="n"/>
      <c r="C24" s="7" t="n"/>
      <c r="D24" s="7" t="n"/>
    </row>
    <row r="25" ht="14" customHeight="1">
      <c r="A25" s="16" t="inlineStr">
        <is>
          <t>•  Sign convention  /  符號定義：kW &gt; 0 = Charging (充電)，kW &lt; 0 = Discharging (放電)</t>
        </is>
      </c>
    </row>
    <row r="26" ht="14" customHeight="1">
      <c r="A26" s="16" t="inlineStr">
        <is>
          <t>•  Session energy is derived from meter counters, not from integrating kW.</t>
        </is>
      </c>
    </row>
    <row r="27" ht="14" customHeight="1">
      <c r="A27" s="16" t="inlineStr">
        <is>
          <t>•  All charts reference the 'Raw Data' worksheet only (no external CSV links).</t>
        </is>
      </c>
    </row>
    <row r="28" ht="14" customHeight="1">
      <c r="A28" s="16" t="inlineStr">
        <is>
          <t>•  Values shown as “—” are placeholders; they are overwritten by the report script.</t>
        </is>
      </c>
    </row>
  </sheetData>
  <pageMargins left="0.4" right="0.4" top="0.5" bottom="0.5" header="0.5" footer="0.5"/>
  <pageSetup orientation="portrait" paperSize="9" fitToHeight="0" fitToWidth="1"/>
  <headerFooter>
    <oddHeader/>
    <oddFooter>&amp;L&amp;8 ESS Charge / Discharge Report&amp;R&amp;8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P2"/>
  <sheetViews>
    <sheetView showGridLines="0" zoomScale="85" workbookViewId="0">
      <selection activeCell="A1" sqref="A1"/>
    </sheetView>
  </sheetViews>
  <sheetFormatPr baseColWidth="8" defaultRowHeight="15"/>
  <sheetData>
    <row r="1" ht="26" customHeight="1">
      <c r="A1" s="1" t="inlineStr">
        <is>
          <t>Power Trend (kW)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4" customHeight="1">
      <c r="A2" s="17" t="inlineStr">
        <is>
          <t>Source: 'Raw Data'!A:B   ·   X = Timestamp   ·   Y = Power (kW)   ·   kW &gt; 0 charging / kW &lt; 0 discharging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6" customHeight="1"/>
  </sheetData>
  <pageMargins left="0.4" right="0.4" top="0.5" bottom="0.5" header="0.5" footer="0.5"/>
  <pageSetup orientation="landscape" paperSize="9" fitToHeight="1" fitToWidth="1"/>
  <headerFooter>
    <oddHeader/>
    <oddFooter>&amp;L&amp;8 ESS Charge / Discharge Report&amp;R&amp;8 Page &amp;P /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P2"/>
  <sheetViews>
    <sheetView showGridLines="0" zoomScale="85" workbookViewId="0">
      <selection activeCell="A1" sqref="A1"/>
    </sheetView>
  </sheetViews>
  <sheetFormatPr baseColWidth="8" defaultRowHeight="15"/>
  <sheetData>
    <row r="1" ht="26" customHeight="1">
      <c r="A1" s="1" t="inlineStr">
        <is>
          <t>Energy Counter (kWh)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4" customHeight="1">
      <c r="A2" s="17" t="inlineStr">
        <is>
          <t>Source: 'Raw Data'!A:A , C:D   ·   X = Timestamp   ·   Y = Energy (kWh)   ·   cumulative meter counters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6" customHeight="1"/>
  </sheetData>
  <pageMargins left="0.4" right="0.4" top="0.5" bottom="0.5" header="0.5" footer="0.5"/>
  <pageSetup orientation="landscape" paperSize="9" fitToHeight="1" fitToWidth="1"/>
  <headerFooter>
    <oddHeader/>
    <oddFooter>&amp;L&amp;8 ESS Charge / Discharge Report&amp;R&amp;8 Page &amp;P /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P2"/>
  <sheetViews>
    <sheetView showGridLines="0" zoomScale="85" workbookViewId="0">
      <selection activeCell="A1" sqref="A1"/>
    </sheetView>
  </sheetViews>
  <sheetFormatPr baseColWidth="8" defaultRowHeight="15"/>
  <sheetData>
    <row r="1" ht="26" customHeight="1">
      <c r="A1" s="1" t="inlineStr">
        <is>
          <t>Power and Energy Overview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4" customHeight="1">
      <c r="A2" s="17" t="inlineStr">
        <is>
          <t>Source: 'Raw Data'!A:D   ·   left Y = Power (kW)   ·   right Y = Energy (kWh)   ·   overall trend reference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6" customHeight="1"/>
  </sheetData>
  <pageMargins left="0.4" right="0.4" top="0.5" bottom="0.5" header="0.5" footer="0.5"/>
  <pageSetup orientation="landscape" paperSize="9" fitToHeight="1" fitToWidth="1"/>
  <headerFooter>
    <oddHeader/>
    <oddFooter>&amp;L&amp;8 ESS Charge / Discharge Report&amp;R&amp;8 Page &amp;P /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G18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style="18" min="1" max="1"/>
    <col width="12" customWidth="1" style="19" min="2" max="2"/>
    <col width="14" customWidth="1" style="20" min="3" max="3"/>
    <col width="14" customWidth="1" style="20" min="4" max="4"/>
    <col width="3" customWidth="1" min="5" max="5"/>
    <col width="30" customWidth="1" min="6" max="6"/>
    <col width="14" customWidth="1" min="7" max="7"/>
  </cols>
  <sheetData>
    <row r="1" ht="20" customHeight="1">
      <c r="A1" s="21" t="inlineStr">
        <is>
          <t>Timestamp</t>
        </is>
      </c>
      <c r="B1" s="21" t="inlineStr">
        <is>
          <t>kW</t>
        </is>
      </c>
      <c r="C1" s="21" t="inlineStr">
        <is>
          <t>kWh+</t>
        </is>
      </c>
      <c r="D1" s="21" t="inlineStr">
        <is>
          <t>kWh-</t>
        </is>
      </c>
      <c r="F1" s="22" t="inlineStr">
        <is>
          <t>Chart Helper — 0 kW baseline (do not delete)</t>
        </is>
      </c>
    </row>
    <row r="2">
      <c r="A2" s="18" t="n">
        <v>46023.375</v>
      </c>
      <c r="B2" s="19" t="n">
        <v>-0</v>
      </c>
      <c r="C2" s="20" t="n">
        <v>105992.3</v>
      </c>
      <c r="D2" s="20" t="n">
        <v>89122.89999999999</v>
      </c>
      <c r="F2" s="23" t="inlineStr">
        <is>
          <t>X (Timestamp)</t>
        </is>
      </c>
      <c r="G2" s="23" t="inlineStr">
        <is>
          <t>Y (kW)</t>
        </is>
      </c>
    </row>
    <row r="3">
      <c r="A3" s="18" t="n">
        <v>46023.37569444445</v>
      </c>
      <c r="B3" s="19" t="n">
        <v>-25</v>
      </c>
      <c r="C3" s="20" t="n">
        <v>105992.3</v>
      </c>
      <c r="D3" s="20" t="n">
        <v>89123.3</v>
      </c>
      <c r="F3" s="18" t="n">
        <v>46023.375</v>
      </c>
      <c r="G3" s="19" t="n">
        <v>0</v>
      </c>
    </row>
    <row r="4">
      <c r="A4" s="18" t="n">
        <v>46023.37638888889</v>
      </c>
      <c r="B4" s="19" t="n">
        <v>-50</v>
      </c>
      <c r="C4" s="20" t="n">
        <v>105992.3</v>
      </c>
      <c r="D4" s="20" t="n">
        <v>89124.10000000001</v>
      </c>
      <c r="F4" s="18" t="n">
        <v>46023.49930555555</v>
      </c>
      <c r="G4" s="19" t="n">
        <v>0</v>
      </c>
    </row>
    <row r="5">
      <c r="A5" s="18" t="n">
        <v>46023.37708333333</v>
      </c>
      <c r="B5" s="19" t="n">
        <v>-75</v>
      </c>
      <c r="C5" s="20" t="n">
        <v>105992.3</v>
      </c>
      <c r="D5" s="20" t="n">
        <v>89125.39999999999</v>
      </c>
    </row>
    <row r="6">
      <c r="A6" s="18" t="n">
        <v>46023.37777777778</v>
      </c>
      <c r="B6" s="19" t="n">
        <v>-100</v>
      </c>
      <c r="C6" s="20" t="n">
        <v>105992.3</v>
      </c>
      <c r="D6" s="20" t="n">
        <v>89127.10000000001</v>
      </c>
      <c r="F6" s="23" t="inlineStr"/>
    </row>
    <row r="7">
      <c r="A7" s="18" t="n">
        <v>46023.37847222222</v>
      </c>
      <c r="B7" s="19" t="n">
        <v>-125</v>
      </c>
      <c r="C7" s="20" t="n">
        <v>105992.3</v>
      </c>
      <c r="D7" s="20" t="n">
        <v>89129.10000000001</v>
      </c>
      <c r="F7" s="23" t="inlineStr">
        <is>
          <t>Template notes for the report script:</t>
        </is>
      </c>
    </row>
    <row r="8">
      <c r="A8" s="18" t="n">
        <v>46023.37916666667</v>
      </c>
      <c r="B8" s="19" t="n">
        <v>-150</v>
      </c>
      <c r="C8" s="20" t="n">
        <v>105992.3</v>
      </c>
      <c r="D8" s="20" t="n">
        <v>89131.60000000001</v>
      </c>
      <c r="F8" s="23" t="inlineStr">
        <is>
          <t xml:space="preserve">  • Table name       : RawData   (ref must be resized to A1:D&lt;last_row&gt;)</t>
        </is>
      </c>
    </row>
    <row r="9">
      <c r="A9" s="18" t="n">
        <v>46023.37986111111</v>
      </c>
      <c r="B9" s="19" t="n">
        <v>-175</v>
      </c>
      <c r="C9" s="20" t="n">
        <v>105992.3</v>
      </c>
      <c r="D9" s="20" t="n">
        <v>89134.60000000001</v>
      </c>
      <c r="F9" s="23" t="inlineStr">
        <is>
          <t xml:space="preserve">  • Number formats   : A = yyyy-mm-dd hh:mm:ss ,  B = #,##0.00 ,  C/D = #,##0.0</t>
        </is>
      </c>
    </row>
    <row r="10">
      <c r="A10" s="18" t="n">
        <v>46023.38055555556</v>
      </c>
      <c r="B10" s="19" t="n">
        <v>-200</v>
      </c>
      <c r="C10" s="20" t="n">
        <v>105992.3</v>
      </c>
      <c r="D10" s="20" t="n">
        <v>89137.89999999999</v>
      </c>
      <c r="F10" s="23" t="inlineStr">
        <is>
          <t xml:space="preserve">  • Sign convention  : kW &gt; 0 charging, kW &lt; 0 discharging</t>
        </is>
      </c>
    </row>
    <row r="11">
      <c r="A11" s="18" t="n">
        <v>46023.38125</v>
      </c>
      <c r="B11" s="19" t="n">
        <v>-225</v>
      </c>
      <c r="C11" s="20" t="n">
        <v>105992.3</v>
      </c>
      <c r="D11" s="20" t="n">
        <v>89141.60000000001</v>
      </c>
      <c r="F11" s="23" t="inlineStr">
        <is>
          <t xml:space="preserve">  • F3/F4 = min/max Timestamp -&gt; feeds the 0 kW baseline series on 'Power Trend'</t>
        </is>
      </c>
    </row>
    <row r="12">
      <c r="A12" s="18" t="n">
        <v>46023.38194444445</v>
      </c>
      <c r="B12" s="19" t="n">
        <v>-250</v>
      </c>
      <c r="C12" s="20" t="n">
        <v>105992.3</v>
      </c>
      <c r="D12" s="20" t="n">
        <v>89145.8</v>
      </c>
      <c r="F12" s="23" t="inlineStr">
        <is>
          <t xml:space="preserve">  • Charts on Power Trend / Energy Counter / Power + Energy all point at this sheet</t>
        </is>
      </c>
    </row>
    <row r="13">
      <c r="A13" s="18" t="n">
        <v>46023.38263888889</v>
      </c>
      <c r="B13" s="19" t="n">
        <v>-275</v>
      </c>
      <c r="C13" s="20" t="n">
        <v>105992.3</v>
      </c>
      <c r="D13" s="20" t="n">
        <v>89150.39999999999</v>
      </c>
      <c r="F13" s="23" t="inlineStr">
        <is>
          <t xml:space="preserve">  • Y axes: auto scale is OFF on every value axis (kW = span +/-10%, kWh counters = span +/-5%, never 0-based)</t>
        </is>
      </c>
    </row>
    <row r="14">
      <c r="A14" s="18" t="n">
        <v>46023.38333333333</v>
      </c>
      <c r="B14" s="19" t="n">
        <v>-301.51</v>
      </c>
      <c r="C14" s="20" t="n">
        <v>105992.3</v>
      </c>
      <c r="D14" s="20" t="n">
        <v>89155.39999999999</v>
      </c>
      <c r="F14" s="23" t="inlineStr">
        <is>
          <t xml:space="preserve">  • Axis min/max are literal numbers, not formulas -- the report script must recompute them from the real</t>
        </is>
      </c>
    </row>
    <row r="15">
      <c r="A15" s="18" t="n">
        <v>46023.38402777778</v>
      </c>
      <c r="B15" s="19" t="n">
        <v>-301.86</v>
      </c>
      <c r="C15" s="20" t="n">
        <v>105992.3</v>
      </c>
      <c r="D15" s="20" t="n">
        <v>89160.5</v>
      </c>
      <c r="F15" s="23" t="inlineStr">
        <is>
          <t xml:space="preserve">    data using the same padded_bounds() rule, or the axis will not match the plotted values</t>
        </is>
      </c>
    </row>
    <row r="16">
      <c r="A16" s="18" t="n">
        <v>46023.38472222222</v>
      </c>
      <c r="B16" s="19" t="n">
        <v>-302</v>
      </c>
      <c r="C16" s="20" t="n">
        <v>105992.3</v>
      </c>
      <c r="D16" s="20" t="n">
        <v>89165.5</v>
      </c>
    </row>
    <row r="17">
      <c r="A17" s="18" t="n">
        <v>46023.38541666666</v>
      </c>
      <c r="B17" s="19" t="n">
        <v>-301.92</v>
      </c>
      <c r="C17" s="20" t="n">
        <v>105992.3</v>
      </c>
      <c r="D17" s="20" t="n">
        <v>89170.5</v>
      </c>
    </row>
    <row r="18">
      <c r="A18" s="18" t="n">
        <v>46023.38611111111</v>
      </c>
      <c r="B18" s="19" t="n">
        <v>-301.63</v>
      </c>
      <c r="C18" s="20" t="n">
        <v>105992.3</v>
      </c>
      <c r="D18" s="20" t="n">
        <v>89175.5</v>
      </c>
    </row>
    <row r="19">
      <c r="A19" s="18" t="n">
        <v>46023.38680555556</v>
      </c>
      <c r="B19" s="19" t="n">
        <v>-301.16</v>
      </c>
      <c r="C19" s="20" t="n">
        <v>105992.3</v>
      </c>
      <c r="D19" s="20" t="n">
        <v>89180.60000000001</v>
      </c>
    </row>
    <row r="20">
      <c r="A20" s="18" t="n">
        <v>46023.3875</v>
      </c>
      <c r="B20" s="19" t="n">
        <v>-300.56</v>
      </c>
      <c r="C20" s="20" t="n">
        <v>105992.3</v>
      </c>
      <c r="D20" s="20" t="n">
        <v>89185.60000000001</v>
      </c>
    </row>
    <row r="21">
      <c r="A21" s="18" t="n">
        <v>46023.38819444444</v>
      </c>
      <c r="B21" s="19" t="n">
        <v>-299.9</v>
      </c>
      <c r="C21" s="20" t="n">
        <v>105992.3</v>
      </c>
      <c r="D21" s="20" t="n">
        <v>89190.60000000001</v>
      </c>
    </row>
    <row r="22">
      <c r="A22" s="18" t="n">
        <v>46023.38888888889</v>
      </c>
      <c r="B22" s="19" t="n">
        <v>-299.25</v>
      </c>
      <c r="C22" s="20" t="n">
        <v>105992.3</v>
      </c>
      <c r="D22" s="20" t="n">
        <v>89195.60000000001</v>
      </c>
    </row>
    <row r="23">
      <c r="A23" s="18" t="n">
        <v>46023.38958333333</v>
      </c>
      <c r="B23" s="19" t="n">
        <v>-298.69</v>
      </c>
      <c r="C23" s="20" t="n">
        <v>105992.3</v>
      </c>
      <c r="D23" s="20" t="n">
        <v>89200.5</v>
      </c>
    </row>
    <row r="24">
      <c r="A24" s="18" t="n">
        <v>46023.39027777778</v>
      </c>
      <c r="B24" s="19" t="n">
        <v>-298.27</v>
      </c>
      <c r="C24" s="20" t="n">
        <v>105992.3</v>
      </c>
      <c r="D24" s="20" t="n">
        <v>89205.5</v>
      </c>
    </row>
    <row r="25">
      <c r="A25" s="18" t="n">
        <v>46023.39097222222</v>
      </c>
      <c r="B25" s="19" t="n">
        <v>-298.03</v>
      </c>
      <c r="C25" s="20" t="n">
        <v>105992.3</v>
      </c>
      <c r="D25" s="20" t="n">
        <v>89210.5</v>
      </c>
    </row>
    <row r="26">
      <c r="A26" s="18" t="n">
        <v>46023.39166666667</v>
      </c>
      <c r="B26" s="19" t="n">
        <v>-298.02</v>
      </c>
      <c r="C26" s="20" t="n">
        <v>105992.3</v>
      </c>
      <c r="D26" s="20" t="n">
        <v>89215.39999999999</v>
      </c>
    </row>
    <row r="27">
      <c r="A27" s="18" t="n">
        <v>46023.39236111111</v>
      </c>
      <c r="B27" s="19" t="n">
        <v>-298.23</v>
      </c>
      <c r="C27" s="20" t="n">
        <v>105992.3</v>
      </c>
      <c r="D27" s="20" t="n">
        <v>89220.39999999999</v>
      </c>
    </row>
    <row r="28">
      <c r="A28" s="18" t="n">
        <v>46023.39305555556</v>
      </c>
      <c r="B28" s="19" t="n">
        <v>-298.62</v>
      </c>
      <c r="C28" s="20" t="n">
        <v>105992.3</v>
      </c>
      <c r="D28" s="20" t="n">
        <v>89225.39999999999</v>
      </c>
    </row>
    <row r="29">
      <c r="A29" s="18" t="n">
        <v>46023.39375</v>
      </c>
      <c r="B29" s="19" t="n">
        <v>-299.18</v>
      </c>
      <c r="C29" s="20" t="n">
        <v>105992.3</v>
      </c>
      <c r="D29" s="20" t="n">
        <v>89230.39999999999</v>
      </c>
    </row>
    <row r="30">
      <c r="A30" s="18" t="n">
        <v>46023.39444444444</v>
      </c>
      <c r="B30" s="19" t="n">
        <v>-299.82</v>
      </c>
      <c r="C30" s="20" t="n">
        <v>105992.3</v>
      </c>
      <c r="D30" s="20" t="n">
        <v>89235.39999999999</v>
      </c>
    </row>
    <row r="31">
      <c r="A31" s="18" t="n">
        <v>46023.39513888889</v>
      </c>
      <c r="B31" s="19" t="n">
        <v>-300.48</v>
      </c>
      <c r="C31" s="20" t="n">
        <v>105992.3</v>
      </c>
      <c r="D31" s="20" t="n">
        <v>89240.39999999999</v>
      </c>
    </row>
    <row r="32">
      <c r="A32" s="18" t="n">
        <v>46023.39583333334</v>
      </c>
      <c r="B32" s="19" t="n">
        <v>-301.09</v>
      </c>
      <c r="C32" s="20" t="n">
        <v>105992.3</v>
      </c>
      <c r="D32" s="20" t="n">
        <v>89245.39999999999</v>
      </c>
    </row>
    <row r="33">
      <c r="A33" s="18" t="n">
        <v>46023.39652777778</v>
      </c>
      <c r="B33" s="19" t="n">
        <v>-301.58</v>
      </c>
      <c r="C33" s="20" t="n">
        <v>105992.3</v>
      </c>
      <c r="D33" s="20" t="n">
        <v>89250.39999999999</v>
      </c>
    </row>
    <row r="34">
      <c r="A34" s="18" t="n">
        <v>46023.39722222222</v>
      </c>
      <c r="B34" s="19" t="n">
        <v>-301.89</v>
      </c>
      <c r="C34" s="20" t="n">
        <v>105992.3</v>
      </c>
      <c r="D34" s="20" t="n">
        <v>89255.5</v>
      </c>
    </row>
    <row r="35">
      <c r="A35" s="18" t="n">
        <v>46023.39791666667</v>
      </c>
      <c r="B35" s="19" t="n">
        <v>-302</v>
      </c>
      <c r="C35" s="20" t="n">
        <v>105992.3</v>
      </c>
      <c r="D35" s="20" t="n">
        <v>89260.5</v>
      </c>
    </row>
    <row r="36">
      <c r="A36" s="18" t="n">
        <v>46023.39861111111</v>
      </c>
      <c r="B36" s="19" t="n">
        <v>-301.89</v>
      </c>
      <c r="C36" s="20" t="n">
        <v>105992.3</v>
      </c>
      <c r="D36" s="20" t="n">
        <v>89265.5</v>
      </c>
    </row>
    <row r="37">
      <c r="A37" s="18" t="n">
        <v>46023.39930555555</v>
      </c>
      <c r="B37" s="19" t="n">
        <v>-301.57</v>
      </c>
      <c r="C37" s="20" t="n">
        <v>105992.3</v>
      </c>
      <c r="D37" s="20" t="n">
        <v>89270.60000000001</v>
      </c>
    </row>
    <row r="38">
      <c r="A38" s="18" t="n">
        <v>46023.4</v>
      </c>
      <c r="B38" s="19" t="n">
        <v>-301.07</v>
      </c>
      <c r="C38" s="20" t="n">
        <v>105992.3</v>
      </c>
      <c r="D38" s="20" t="n">
        <v>89275.60000000001</v>
      </c>
    </row>
    <row r="39">
      <c r="A39" s="18" t="n">
        <v>46023.40069444444</v>
      </c>
      <c r="B39" s="19" t="n">
        <v>-300.46</v>
      </c>
      <c r="C39" s="20" t="n">
        <v>105992.3</v>
      </c>
      <c r="D39" s="20" t="n">
        <v>89280.60000000001</v>
      </c>
    </row>
    <row r="40">
      <c r="A40" s="18" t="n">
        <v>46023.40138888889</v>
      </c>
      <c r="B40" s="19" t="n">
        <v>-299.8</v>
      </c>
      <c r="C40" s="20" t="n">
        <v>105992.3</v>
      </c>
      <c r="D40" s="20" t="n">
        <v>89285.60000000001</v>
      </c>
    </row>
    <row r="41">
      <c r="A41" s="18" t="n">
        <v>46023.40208333333</v>
      </c>
      <c r="B41" s="19" t="n">
        <v>-299.16</v>
      </c>
      <c r="C41" s="20" t="n">
        <v>105992.3</v>
      </c>
      <c r="D41" s="20" t="n">
        <v>89290.60000000001</v>
      </c>
    </row>
    <row r="42">
      <c r="A42" s="18" t="n">
        <v>46023.40277777778</v>
      </c>
      <c r="B42" s="19" t="n">
        <v>-298.61</v>
      </c>
      <c r="C42" s="20" t="n">
        <v>105992.3</v>
      </c>
      <c r="D42" s="20" t="n">
        <v>89295.5</v>
      </c>
    </row>
    <row r="43">
      <c r="A43" s="18" t="n">
        <v>46023.40347222222</v>
      </c>
      <c r="B43" s="19" t="n">
        <v>-298.22</v>
      </c>
      <c r="C43" s="20" t="n">
        <v>105992.3</v>
      </c>
      <c r="D43" s="20" t="n">
        <v>89300.5</v>
      </c>
    </row>
    <row r="44">
      <c r="A44" s="18" t="n">
        <v>46023.40416666667</v>
      </c>
      <c r="B44" s="19" t="n">
        <v>-298.02</v>
      </c>
      <c r="C44" s="20" t="n">
        <v>105992.3</v>
      </c>
      <c r="D44" s="20" t="n">
        <v>89305.5</v>
      </c>
    </row>
    <row r="45">
      <c r="A45" s="18" t="n">
        <v>46023.40486111111</v>
      </c>
      <c r="B45" s="19" t="n">
        <v>-298.04</v>
      </c>
      <c r="C45" s="20" t="n">
        <v>105992.3</v>
      </c>
      <c r="D45" s="20" t="n">
        <v>89310.39999999999</v>
      </c>
    </row>
    <row r="46">
      <c r="A46" s="18" t="n">
        <v>46023.40555555555</v>
      </c>
      <c r="B46" s="19" t="n">
        <v>-298.27</v>
      </c>
      <c r="C46" s="20" t="n">
        <v>105992.3</v>
      </c>
      <c r="D46" s="20" t="n">
        <v>89315.39999999999</v>
      </c>
    </row>
    <row r="47">
      <c r="A47" s="18" t="n">
        <v>46023.40625</v>
      </c>
      <c r="B47" s="19" t="n">
        <v>-298.7</v>
      </c>
      <c r="C47" s="20" t="n">
        <v>105992.3</v>
      </c>
      <c r="D47" s="20" t="n">
        <v>89320.39999999999</v>
      </c>
    </row>
    <row r="48">
      <c r="A48" s="18" t="n">
        <v>46023.40694444445</v>
      </c>
      <c r="B48" s="19" t="n">
        <v>-299.27</v>
      </c>
      <c r="C48" s="20" t="n">
        <v>105992.3</v>
      </c>
      <c r="D48" s="20" t="n">
        <v>89325.39999999999</v>
      </c>
    </row>
    <row r="49">
      <c r="A49" s="18" t="n">
        <v>46023.40763888889</v>
      </c>
      <c r="B49" s="19" t="n">
        <v>-299.92</v>
      </c>
      <c r="C49" s="20" t="n">
        <v>105992.3</v>
      </c>
      <c r="D49" s="20" t="n">
        <v>89330.39999999999</v>
      </c>
    </row>
    <row r="50">
      <c r="A50" s="18" t="n">
        <v>46023.40833333333</v>
      </c>
      <c r="B50" s="19" t="n">
        <v>-300.58</v>
      </c>
      <c r="C50" s="20" t="n">
        <v>105992.3</v>
      </c>
      <c r="D50" s="20" t="n">
        <v>89335.39999999999</v>
      </c>
    </row>
    <row r="51">
      <c r="A51" s="18" t="n">
        <v>46023.40902777778</v>
      </c>
      <c r="B51" s="19" t="n">
        <v>-301.17</v>
      </c>
      <c r="C51" s="20" t="n">
        <v>105992.3</v>
      </c>
      <c r="D51" s="20" t="n">
        <v>89340.39999999999</v>
      </c>
    </row>
    <row r="52">
      <c r="A52" s="18" t="n">
        <v>46023.40972222222</v>
      </c>
      <c r="B52" s="19" t="n">
        <v>-301.64</v>
      </c>
      <c r="C52" s="20" t="n">
        <v>105992.3</v>
      </c>
      <c r="D52" s="20" t="n">
        <v>89345.39999999999</v>
      </c>
    </row>
    <row r="53">
      <c r="A53" s="18" t="n">
        <v>46023.41041666667</v>
      </c>
      <c r="B53" s="19" t="n">
        <v>-301.92</v>
      </c>
      <c r="C53" s="20" t="n">
        <v>105992.3</v>
      </c>
      <c r="D53" s="20" t="n">
        <v>89350.5</v>
      </c>
    </row>
    <row r="54">
      <c r="A54" s="18" t="n">
        <v>46023.41111111111</v>
      </c>
      <c r="B54" s="19" t="n">
        <v>-302</v>
      </c>
      <c r="C54" s="20" t="n">
        <v>105992.3</v>
      </c>
      <c r="D54" s="20" t="n">
        <v>89355.5</v>
      </c>
    </row>
    <row r="55">
      <c r="A55" s="18" t="n">
        <v>46023.41180555556</v>
      </c>
      <c r="B55" s="19" t="n">
        <v>-301.85</v>
      </c>
      <c r="C55" s="20" t="n">
        <v>105992.3</v>
      </c>
      <c r="D55" s="20" t="n">
        <v>89360.5</v>
      </c>
    </row>
    <row r="56">
      <c r="A56" s="18" t="n">
        <v>46023.4125</v>
      </c>
      <c r="B56" s="19" t="n">
        <v>-301.5</v>
      </c>
      <c r="C56" s="20" t="n">
        <v>105992.3</v>
      </c>
      <c r="D56" s="20" t="n">
        <v>89365.60000000001</v>
      </c>
    </row>
    <row r="57">
      <c r="A57" s="18" t="n">
        <v>46023.41319444445</v>
      </c>
      <c r="B57" s="19" t="n">
        <v>-300.99</v>
      </c>
      <c r="C57" s="20" t="n">
        <v>105992.3</v>
      </c>
      <c r="D57" s="20" t="n">
        <v>89370.60000000001</v>
      </c>
    </row>
    <row r="58">
      <c r="A58" s="18" t="n">
        <v>46023.41388888889</v>
      </c>
      <c r="B58" s="19" t="n">
        <v>-300.36</v>
      </c>
      <c r="C58" s="20" t="n">
        <v>105992.3</v>
      </c>
      <c r="D58" s="20" t="n">
        <v>89375.60000000001</v>
      </c>
    </row>
    <row r="59">
      <c r="A59" s="18" t="n">
        <v>46023.41458333333</v>
      </c>
      <c r="B59" s="19" t="n">
        <v>-299.7</v>
      </c>
      <c r="C59" s="20" t="n">
        <v>105992.3</v>
      </c>
      <c r="D59" s="20" t="n">
        <v>89380.60000000001</v>
      </c>
    </row>
    <row r="60">
      <c r="A60" s="18" t="n">
        <v>46023.41527777778</v>
      </c>
      <c r="B60" s="19" t="n">
        <v>-299.07</v>
      </c>
      <c r="C60" s="20" t="n">
        <v>105992.3</v>
      </c>
      <c r="D60" s="20" t="n">
        <v>89385.60000000001</v>
      </c>
    </row>
    <row r="61">
      <c r="A61" s="18" t="n">
        <v>46023.41597222222</v>
      </c>
      <c r="B61" s="19" t="n">
        <v>-298.54</v>
      </c>
      <c r="C61" s="20" t="n">
        <v>105992.3</v>
      </c>
      <c r="D61" s="20" t="n">
        <v>89390.5</v>
      </c>
    </row>
    <row r="62">
      <c r="A62" s="18" t="n">
        <v>46023.41666666666</v>
      </c>
      <c r="B62" s="19" t="n">
        <v>-298.17</v>
      </c>
      <c r="C62" s="20" t="n">
        <v>105992.3</v>
      </c>
      <c r="D62" s="20" t="n">
        <v>89395.5</v>
      </c>
    </row>
    <row r="63">
      <c r="A63" s="18" t="n">
        <v>46023.41736111111</v>
      </c>
      <c r="B63" s="19" t="n">
        <v>-298.01</v>
      </c>
      <c r="C63" s="20" t="n">
        <v>105992.3</v>
      </c>
      <c r="D63" s="20" t="n">
        <v>89400.5</v>
      </c>
    </row>
    <row r="64">
      <c r="A64" s="18" t="n">
        <v>46023.41805555556</v>
      </c>
      <c r="B64" s="19" t="n">
        <v>-300</v>
      </c>
      <c r="C64" s="20" t="n">
        <v>105992.3</v>
      </c>
      <c r="D64" s="20" t="n">
        <v>89405.5</v>
      </c>
    </row>
    <row r="65">
      <c r="A65" s="18" t="n">
        <v>46023.41875</v>
      </c>
      <c r="B65" s="19" t="n">
        <v>-270</v>
      </c>
      <c r="C65" s="20" t="n">
        <v>105992.3</v>
      </c>
      <c r="D65" s="20" t="n">
        <v>89410</v>
      </c>
    </row>
    <row r="66">
      <c r="A66" s="18" t="n">
        <v>46023.41944444444</v>
      </c>
      <c r="B66" s="19" t="n">
        <v>-240</v>
      </c>
      <c r="C66" s="20" t="n">
        <v>105992.3</v>
      </c>
      <c r="D66" s="20" t="n">
        <v>89414</v>
      </c>
    </row>
    <row r="67">
      <c r="A67" s="18" t="n">
        <v>46023.42013888889</v>
      </c>
      <c r="B67" s="19" t="n">
        <v>-210</v>
      </c>
      <c r="C67" s="20" t="n">
        <v>105992.3</v>
      </c>
      <c r="D67" s="20" t="n">
        <v>89417.5</v>
      </c>
    </row>
    <row r="68">
      <c r="A68" s="18" t="n">
        <v>46023.42083333333</v>
      </c>
      <c r="B68" s="19" t="n">
        <v>-180</v>
      </c>
      <c r="C68" s="20" t="n">
        <v>105992.3</v>
      </c>
      <c r="D68" s="20" t="n">
        <v>89420.5</v>
      </c>
    </row>
    <row r="69">
      <c r="A69" s="18" t="n">
        <v>46023.42152777778</v>
      </c>
      <c r="B69" s="19" t="n">
        <v>-150</v>
      </c>
      <c r="C69" s="20" t="n">
        <v>105992.3</v>
      </c>
      <c r="D69" s="20" t="n">
        <v>89423</v>
      </c>
    </row>
    <row r="70">
      <c r="A70" s="18" t="n">
        <v>46023.42222222222</v>
      </c>
      <c r="B70" s="19" t="n">
        <v>-120</v>
      </c>
      <c r="C70" s="20" t="n">
        <v>105992.3</v>
      </c>
      <c r="D70" s="20" t="n">
        <v>89425</v>
      </c>
    </row>
    <row r="71">
      <c r="A71" s="18" t="n">
        <v>46023.42291666667</v>
      </c>
      <c r="B71" s="19" t="n">
        <v>-90</v>
      </c>
      <c r="C71" s="20" t="n">
        <v>105992.3</v>
      </c>
      <c r="D71" s="20" t="n">
        <v>89426.5</v>
      </c>
    </row>
    <row r="72">
      <c r="A72" s="18" t="n">
        <v>46023.42361111111</v>
      </c>
      <c r="B72" s="19" t="n">
        <v>-60</v>
      </c>
      <c r="C72" s="20" t="n">
        <v>105992.3</v>
      </c>
      <c r="D72" s="20" t="n">
        <v>89427.5</v>
      </c>
    </row>
    <row r="73">
      <c r="A73" s="18" t="n">
        <v>46023.42430555556</v>
      </c>
      <c r="B73" s="19" t="n">
        <v>-30</v>
      </c>
      <c r="C73" s="20" t="n">
        <v>105992.3</v>
      </c>
      <c r="D73" s="20" t="n">
        <v>89428</v>
      </c>
    </row>
    <row r="74">
      <c r="A74" s="18" t="n">
        <v>46023.425</v>
      </c>
      <c r="B74" s="19" t="n">
        <v>-0.4</v>
      </c>
      <c r="C74" s="20" t="n">
        <v>105992.3</v>
      </c>
      <c r="D74" s="20" t="n">
        <v>89428</v>
      </c>
    </row>
    <row r="75">
      <c r="A75" s="18" t="n">
        <v>46023.42569444444</v>
      </c>
      <c r="B75" s="19" t="n">
        <v>-0.37</v>
      </c>
      <c r="C75" s="20" t="n">
        <v>105992.3</v>
      </c>
      <c r="D75" s="20" t="n">
        <v>89428</v>
      </c>
    </row>
    <row r="76">
      <c r="A76" s="18" t="n">
        <v>46023.42638888889</v>
      </c>
      <c r="B76" s="19" t="n">
        <v>-0.26</v>
      </c>
      <c r="C76" s="20" t="n">
        <v>105992.3</v>
      </c>
      <c r="D76" s="20" t="n">
        <v>89428</v>
      </c>
    </row>
    <row r="77">
      <c r="A77" s="18" t="n">
        <v>46023.42708333334</v>
      </c>
      <c r="B77" s="19" t="n">
        <v>-0.08</v>
      </c>
      <c r="C77" s="20" t="n">
        <v>105992.3</v>
      </c>
      <c r="D77" s="20" t="n">
        <v>89428</v>
      </c>
    </row>
    <row r="78">
      <c r="A78" s="18" t="n">
        <v>46023.42777777778</v>
      </c>
      <c r="B78" s="19" t="n">
        <v>0.12</v>
      </c>
      <c r="C78" s="20" t="n">
        <v>105992.3</v>
      </c>
      <c r="D78" s="20" t="n">
        <v>89428</v>
      </c>
    </row>
    <row r="79">
      <c r="A79" s="18" t="n">
        <v>46023.42847222222</v>
      </c>
      <c r="B79" s="19" t="n">
        <v>0.29</v>
      </c>
      <c r="C79" s="20" t="n">
        <v>105992.3</v>
      </c>
      <c r="D79" s="20" t="n">
        <v>89428</v>
      </c>
    </row>
    <row r="80">
      <c r="A80" s="18" t="n">
        <v>46023.42916666667</v>
      </c>
      <c r="B80" s="19" t="n">
        <v>0.39</v>
      </c>
      <c r="C80" s="20" t="n">
        <v>105992.3</v>
      </c>
      <c r="D80" s="20" t="n">
        <v>89428</v>
      </c>
    </row>
    <row r="81">
      <c r="A81" s="18" t="n">
        <v>46023.42986111111</v>
      </c>
      <c r="B81" s="19" t="n">
        <v>0.39</v>
      </c>
      <c r="C81" s="20" t="n">
        <v>105992.3</v>
      </c>
      <c r="D81" s="20" t="n">
        <v>89428</v>
      </c>
    </row>
    <row r="82">
      <c r="A82" s="18" t="n">
        <v>46023.43055555555</v>
      </c>
      <c r="B82" s="19" t="n">
        <v>0.3</v>
      </c>
      <c r="C82" s="20" t="n">
        <v>105992.3</v>
      </c>
      <c r="D82" s="20" t="n">
        <v>89428</v>
      </c>
    </row>
    <row r="83">
      <c r="A83" s="18" t="n">
        <v>46023.43125</v>
      </c>
      <c r="B83" s="19" t="n">
        <v>0.13</v>
      </c>
      <c r="C83" s="20" t="n">
        <v>105992.3</v>
      </c>
      <c r="D83" s="20" t="n">
        <v>89428</v>
      </c>
    </row>
    <row r="84">
      <c r="A84" s="18" t="n">
        <v>46023.43194444444</v>
      </c>
      <c r="B84" s="19" t="n">
        <v>-0.06</v>
      </c>
      <c r="C84" s="20" t="n">
        <v>105992.3</v>
      </c>
      <c r="D84" s="20" t="n">
        <v>89428</v>
      </c>
    </row>
    <row r="85">
      <c r="A85" s="18" t="n">
        <v>46023.43263888889</v>
      </c>
      <c r="B85" s="19" t="n">
        <v>-0.25</v>
      </c>
      <c r="C85" s="20" t="n">
        <v>105992.3</v>
      </c>
      <c r="D85" s="20" t="n">
        <v>89428</v>
      </c>
    </row>
    <row r="86">
      <c r="A86" s="18" t="n">
        <v>46023.43333333333</v>
      </c>
      <c r="B86" s="19" t="n">
        <v>-0.37</v>
      </c>
      <c r="C86" s="20" t="n">
        <v>105992.3</v>
      </c>
      <c r="D86" s="20" t="n">
        <v>89428</v>
      </c>
    </row>
    <row r="87">
      <c r="A87" s="18" t="n">
        <v>46023.43402777778</v>
      </c>
      <c r="B87" s="19" t="n">
        <v>-0.4</v>
      </c>
      <c r="C87" s="20" t="n">
        <v>105992.3</v>
      </c>
      <c r="D87" s="20" t="n">
        <v>89428</v>
      </c>
    </row>
    <row r="88">
      <c r="A88" s="18" t="n">
        <v>46023.43472222222</v>
      </c>
      <c r="B88" s="19" t="n">
        <v>0</v>
      </c>
      <c r="C88" s="20" t="n">
        <v>105992.3</v>
      </c>
      <c r="D88" s="20" t="n">
        <v>89428</v>
      </c>
    </row>
    <row r="89">
      <c r="A89" s="18" t="n">
        <v>46023.43541666667</v>
      </c>
      <c r="B89" s="19" t="n">
        <v>20</v>
      </c>
      <c r="C89" s="20" t="n">
        <v>105992.7</v>
      </c>
      <c r="D89" s="20" t="n">
        <v>89428</v>
      </c>
    </row>
    <row r="90">
      <c r="A90" s="18" t="n">
        <v>46023.43611111111</v>
      </c>
      <c r="B90" s="19" t="n">
        <v>40</v>
      </c>
      <c r="C90" s="20" t="n">
        <v>105993.3</v>
      </c>
      <c r="D90" s="20" t="n">
        <v>89428</v>
      </c>
    </row>
    <row r="91">
      <c r="A91" s="18" t="n">
        <v>46023.43680555555</v>
      </c>
      <c r="B91" s="19" t="n">
        <v>60</v>
      </c>
      <c r="C91" s="20" t="n">
        <v>105994.3</v>
      </c>
      <c r="D91" s="20" t="n">
        <v>89428</v>
      </c>
    </row>
    <row r="92">
      <c r="A92" s="18" t="n">
        <v>46023.4375</v>
      </c>
      <c r="B92" s="19" t="n">
        <v>80</v>
      </c>
      <c r="C92" s="20" t="n">
        <v>105995.7</v>
      </c>
      <c r="D92" s="20" t="n">
        <v>89428</v>
      </c>
    </row>
    <row r="93">
      <c r="A93" s="18" t="n">
        <v>46023.43819444445</v>
      </c>
      <c r="B93" s="19" t="n">
        <v>100</v>
      </c>
      <c r="C93" s="20" t="n">
        <v>105997.3</v>
      </c>
      <c r="D93" s="20" t="n">
        <v>89428</v>
      </c>
    </row>
    <row r="94">
      <c r="A94" s="18" t="n">
        <v>46023.43888888889</v>
      </c>
      <c r="B94" s="19" t="n">
        <v>120</v>
      </c>
      <c r="C94" s="20" t="n">
        <v>105999.3</v>
      </c>
      <c r="D94" s="20" t="n">
        <v>89428</v>
      </c>
    </row>
    <row r="95">
      <c r="A95" s="18" t="n">
        <v>46023.43958333333</v>
      </c>
      <c r="B95" s="19" t="n">
        <v>140</v>
      </c>
      <c r="C95" s="20" t="n">
        <v>106001.7</v>
      </c>
      <c r="D95" s="20" t="n">
        <v>89428</v>
      </c>
    </row>
    <row r="96">
      <c r="A96" s="18" t="n">
        <v>46023.44027777778</v>
      </c>
      <c r="B96" s="19" t="n">
        <v>160</v>
      </c>
      <c r="C96" s="20" t="n">
        <v>106004.3</v>
      </c>
      <c r="D96" s="20" t="n">
        <v>89428</v>
      </c>
    </row>
    <row r="97">
      <c r="A97" s="18" t="n">
        <v>46023.44097222222</v>
      </c>
      <c r="B97" s="19" t="n">
        <v>180</v>
      </c>
      <c r="C97" s="20" t="n">
        <v>106007.3</v>
      </c>
      <c r="D97" s="20" t="n">
        <v>89428</v>
      </c>
    </row>
    <row r="98">
      <c r="A98" s="18" t="n">
        <v>46023.44166666667</v>
      </c>
      <c r="B98" s="19" t="n">
        <v>200</v>
      </c>
      <c r="C98" s="20" t="n">
        <v>106010.7</v>
      </c>
      <c r="D98" s="20" t="n">
        <v>89428</v>
      </c>
    </row>
    <row r="99">
      <c r="A99" s="18" t="n">
        <v>46023.44236111111</v>
      </c>
      <c r="B99" s="19" t="n">
        <v>220</v>
      </c>
      <c r="C99" s="20" t="n">
        <v>106014.3</v>
      </c>
      <c r="D99" s="20" t="n">
        <v>89428</v>
      </c>
    </row>
    <row r="100">
      <c r="A100" s="18" t="n">
        <v>46023.44305555556</v>
      </c>
      <c r="B100" s="19" t="n">
        <v>238.52</v>
      </c>
      <c r="C100" s="20" t="n">
        <v>106018.3</v>
      </c>
      <c r="D100" s="20" t="n">
        <v>89428</v>
      </c>
    </row>
    <row r="101">
      <c r="A101" s="18" t="n">
        <v>46023.44375</v>
      </c>
      <c r="B101" s="19" t="n">
        <v>239.07</v>
      </c>
      <c r="C101" s="20" t="n">
        <v>106022.3</v>
      </c>
      <c r="D101" s="20" t="n">
        <v>89428</v>
      </c>
    </row>
    <row r="102">
      <c r="A102" s="18" t="n">
        <v>46023.44444444445</v>
      </c>
      <c r="B102" s="19" t="n">
        <v>239.67</v>
      </c>
      <c r="C102" s="20" t="n">
        <v>106026.3</v>
      </c>
      <c r="D102" s="20" t="n">
        <v>89428</v>
      </c>
    </row>
    <row r="103">
      <c r="A103" s="18" t="n">
        <v>46023.44513888889</v>
      </c>
      <c r="B103" s="19" t="n">
        <v>240.29</v>
      </c>
      <c r="C103" s="20" t="n">
        <v>106030.3</v>
      </c>
      <c r="D103" s="20" t="n">
        <v>89428</v>
      </c>
    </row>
    <row r="104">
      <c r="A104" s="18" t="n">
        <v>46023.44583333333</v>
      </c>
      <c r="B104" s="19" t="n">
        <v>240.9</v>
      </c>
      <c r="C104" s="20" t="n">
        <v>106034.3</v>
      </c>
      <c r="D104" s="20" t="n">
        <v>89428</v>
      </c>
    </row>
    <row r="105">
      <c r="A105" s="18" t="n">
        <v>46023.44652777778</v>
      </c>
      <c r="B105" s="19" t="n">
        <v>241.45</v>
      </c>
      <c r="C105" s="20" t="n">
        <v>106038.3</v>
      </c>
      <c r="D105" s="20" t="n">
        <v>89428</v>
      </c>
    </row>
    <row r="106">
      <c r="A106" s="18" t="n">
        <v>46023.44722222222</v>
      </c>
      <c r="B106" s="19" t="n">
        <v>241.91</v>
      </c>
      <c r="C106" s="20" t="n">
        <v>106042.4</v>
      </c>
      <c r="D106" s="20" t="n">
        <v>89428</v>
      </c>
    </row>
    <row r="107">
      <c r="A107" s="18" t="n">
        <v>46023.44791666666</v>
      </c>
      <c r="B107" s="19" t="n">
        <v>242.25</v>
      </c>
      <c r="C107" s="20" t="n">
        <v>106046.4</v>
      </c>
      <c r="D107" s="20" t="n">
        <v>89428</v>
      </c>
    </row>
    <row r="108">
      <c r="A108" s="18" t="n">
        <v>46023.44861111111</v>
      </c>
      <c r="B108" s="19" t="n">
        <v>242.45</v>
      </c>
      <c r="C108" s="20" t="n">
        <v>106050.4</v>
      </c>
      <c r="D108" s="20" t="n">
        <v>89428</v>
      </c>
    </row>
    <row r="109">
      <c r="A109" s="18" t="n">
        <v>46023.44930555556</v>
      </c>
      <c r="B109" s="19" t="n">
        <v>242.5</v>
      </c>
      <c r="C109" s="20" t="n">
        <v>106054.5</v>
      </c>
      <c r="D109" s="20" t="n">
        <v>89428</v>
      </c>
    </row>
    <row r="110">
      <c r="A110" s="18" t="n">
        <v>46023.45</v>
      </c>
      <c r="B110" s="19" t="n">
        <v>242.39</v>
      </c>
      <c r="C110" s="20" t="n">
        <v>106058.5</v>
      </c>
      <c r="D110" s="20" t="n">
        <v>89428</v>
      </c>
    </row>
    <row r="111">
      <c r="A111" s="18" t="n">
        <v>46023.45069444444</v>
      </c>
      <c r="B111" s="19" t="n">
        <v>242.14</v>
      </c>
      <c r="C111" s="20" t="n">
        <v>106062.6</v>
      </c>
      <c r="D111" s="20" t="n">
        <v>89428</v>
      </c>
    </row>
    <row r="112">
      <c r="A112" s="18" t="n">
        <v>46023.45138888889</v>
      </c>
      <c r="B112" s="19" t="n">
        <v>241.75</v>
      </c>
      <c r="C112" s="20" t="n">
        <v>106066.6</v>
      </c>
      <c r="D112" s="20" t="n">
        <v>89428</v>
      </c>
    </row>
    <row r="113">
      <c r="A113" s="18" t="n">
        <v>46023.45208333333</v>
      </c>
      <c r="B113" s="19" t="n">
        <v>241.25</v>
      </c>
      <c r="C113" s="20" t="n">
        <v>106070.6</v>
      </c>
      <c r="D113" s="20" t="n">
        <v>89428</v>
      </c>
    </row>
    <row r="114">
      <c r="A114" s="18" t="n">
        <v>46023.45277777778</v>
      </c>
      <c r="B114" s="19" t="n">
        <v>240.68</v>
      </c>
      <c r="C114" s="20" t="n">
        <v>106074.6</v>
      </c>
      <c r="D114" s="20" t="n">
        <v>89428</v>
      </c>
    </row>
    <row r="115">
      <c r="A115" s="18" t="n">
        <v>46023.45347222222</v>
      </c>
      <c r="B115" s="19" t="n">
        <v>240.06</v>
      </c>
      <c r="C115" s="20" t="n">
        <v>106078.6</v>
      </c>
      <c r="D115" s="20" t="n">
        <v>89428</v>
      </c>
    </row>
    <row r="116">
      <c r="A116" s="18" t="n">
        <v>46023.45416666667</v>
      </c>
      <c r="B116" s="19" t="n">
        <v>239.44</v>
      </c>
      <c r="C116" s="20" t="n">
        <v>106082.6</v>
      </c>
      <c r="D116" s="20" t="n">
        <v>89428</v>
      </c>
    </row>
    <row r="117">
      <c r="A117" s="18" t="n">
        <v>46023.45486111111</v>
      </c>
      <c r="B117" s="19" t="n">
        <v>238.86</v>
      </c>
      <c r="C117" s="20" t="n">
        <v>106086.6</v>
      </c>
      <c r="D117" s="20" t="n">
        <v>89428</v>
      </c>
    </row>
    <row r="118">
      <c r="A118" s="18" t="n">
        <v>46023.45555555556</v>
      </c>
      <c r="B118" s="19" t="n">
        <v>238.34</v>
      </c>
      <c r="C118" s="20" t="n">
        <v>106090.6</v>
      </c>
      <c r="D118" s="20" t="n">
        <v>89428</v>
      </c>
    </row>
    <row r="119">
      <c r="A119" s="18" t="n">
        <v>46023.45625</v>
      </c>
      <c r="B119" s="19" t="n">
        <v>237.93</v>
      </c>
      <c r="C119" s="20" t="n">
        <v>106094.5</v>
      </c>
      <c r="D119" s="20" t="n">
        <v>89428</v>
      </c>
    </row>
    <row r="120">
      <c r="A120" s="18" t="n">
        <v>46023.45694444444</v>
      </c>
      <c r="B120" s="19" t="n">
        <v>237.65</v>
      </c>
      <c r="C120" s="20" t="n">
        <v>106098.5</v>
      </c>
      <c r="D120" s="20" t="n">
        <v>89428</v>
      </c>
    </row>
    <row r="121">
      <c r="A121" s="18" t="n">
        <v>46023.45763888889</v>
      </c>
      <c r="B121" s="19" t="n">
        <v>237.51</v>
      </c>
      <c r="C121" s="20" t="n">
        <v>106102.4</v>
      </c>
      <c r="D121" s="20" t="n">
        <v>89428</v>
      </c>
    </row>
    <row r="122">
      <c r="A122" s="18" t="n">
        <v>46023.45833333334</v>
      </c>
      <c r="B122" s="19" t="n">
        <v>237.53</v>
      </c>
      <c r="C122" s="20" t="n">
        <v>106106.4</v>
      </c>
      <c r="D122" s="20" t="n">
        <v>89428</v>
      </c>
    </row>
    <row r="123">
      <c r="A123" s="18" t="n">
        <v>46023.45902777778</v>
      </c>
      <c r="B123" s="19" t="n">
        <v>237.7</v>
      </c>
      <c r="C123" s="20" t="n">
        <v>106110.4</v>
      </c>
      <c r="D123" s="20" t="n">
        <v>89428</v>
      </c>
    </row>
    <row r="124">
      <c r="A124" s="18" t="n">
        <v>46023.45972222222</v>
      </c>
      <c r="B124" s="19" t="n">
        <v>238.02</v>
      </c>
      <c r="C124" s="20" t="n">
        <v>106114.3</v>
      </c>
      <c r="D124" s="20" t="n">
        <v>89428</v>
      </c>
    </row>
    <row r="125">
      <c r="A125" s="18" t="n">
        <v>46023.46041666667</v>
      </c>
      <c r="B125" s="19" t="n">
        <v>238.46</v>
      </c>
      <c r="C125" s="20" t="n">
        <v>106118.3</v>
      </c>
      <c r="D125" s="20" t="n">
        <v>89428</v>
      </c>
    </row>
    <row r="126">
      <c r="A126" s="18" t="n">
        <v>46023.46111111111</v>
      </c>
      <c r="B126" s="19" t="n">
        <v>238.99</v>
      </c>
      <c r="C126" s="20" t="n">
        <v>106122.3</v>
      </c>
      <c r="D126" s="20" t="n">
        <v>89428</v>
      </c>
    </row>
    <row r="127">
      <c r="A127" s="18" t="n">
        <v>46023.46180555555</v>
      </c>
      <c r="B127" s="19" t="n">
        <v>239.59</v>
      </c>
      <c r="C127" s="20" t="n">
        <v>106126.3</v>
      </c>
      <c r="D127" s="20" t="n">
        <v>89428</v>
      </c>
    </row>
    <row r="128">
      <c r="A128" s="18" t="n">
        <v>46023.4625</v>
      </c>
      <c r="B128" s="19" t="n">
        <v>240.21</v>
      </c>
      <c r="C128" s="20" t="n">
        <v>106130.3</v>
      </c>
      <c r="D128" s="20" t="n">
        <v>89428</v>
      </c>
    </row>
    <row r="129">
      <c r="A129" s="18" t="n">
        <v>46023.46319444444</v>
      </c>
      <c r="B129" s="19" t="n">
        <v>240.82</v>
      </c>
      <c r="C129" s="20" t="n">
        <v>106134.3</v>
      </c>
      <c r="D129" s="20" t="n">
        <v>89428</v>
      </c>
    </row>
    <row r="130">
      <c r="A130" s="18" t="n">
        <v>46023.46388888889</v>
      </c>
      <c r="B130" s="19" t="n">
        <v>241.38</v>
      </c>
      <c r="C130" s="20" t="n">
        <v>106138.3</v>
      </c>
      <c r="D130" s="20" t="n">
        <v>89428</v>
      </c>
    </row>
    <row r="131">
      <c r="A131" s="18" t="n">
        <v>46023.46458333333</v>
      </c>
      <c r="B131" s="19" t="n">
        <v>241.85</v>
      </c>
      <c r="C131" s="20" t="n">
        <v>106142.4</v>
      </c>
      <c r="D131" s="20" t="n">
        <v>89428</v>
      </c>
    </row>
    <row r="132">
      <c r="A132" s="18" t="n">
        <v>46023.46527777778</v>
      </c>
      <c r="B132" s="19" t="n">
        <v>242.21</v>
      </c>
      <c r="C132" s="20" t="n">
        <v>106146.4</v>
      </c>
      <c r="D132" s="20" t="n">
        <v>89428</v>
      </c>
    </row>
    <row r="133">
      <c r="A133" s="18" t="n">
        <v>46023.46597222222</v>
      </c>
      <c r="B133" s="19" t="n">
        <v>242.43</v>
      </c>
      <c r="C133" s="20" t="n">
        <v>106150.4</v>
      </c>
      <c r="D133" s="20" t="n">
        <v>89428</v>
      </c>
    </row>
    <row r="134">
      <c r="A134" s="18" t="n">
        <v>46023.46666666667</v>
      </c>
      <c r="B134" s="19" t="n">
        <v>242.5</v>
      </c>
      <c r="C134" s="20" t="n">
        <v>106154.5</v>
      </c>
      <c r="D134" s="20" t="n">
        <v>89428</v>
      </c>
    </row>
    <row r="135">
      <c r="A135" s="18" t="n">
        <v>46023.46736111111</v>
      </c>
      <c r="B135" s="19" t="n">
        <v>242.41</v>
      </c>
      <c r="C135" s="20" t="n">
        <v>106158.5</v>
      </c>
      <c r="D135" s="20" t="n">
        <v>89428</v>
      </c>
    </row>
    <row r="136">
      <c r="A136" s="18" t="n">
        <v>46023.46805555555</v>
      </c>
      <c r="B136" s="19" t="n">
        <v>242.18</v>
      </c>
      <c r="C136" s="20" t="n">
        <v>106162.5</v>
      </c>
      <c r="D136" s="20" t="n">
        <v>89428</v>
      </c>
    </row>
    <row r="137">
      <c r="A137" s="18" t="n">
        <v>46023.46875</v>
      </c>
      <c r="B137" s="19" t="n">
        <v>241.81</v>
      </c>
      <c r="C137" s="20" t="n">
        <v>106166.6</v>
      </c>
      <c r="D137" s="20" t="n">
        <v>89428</v>
      </c>
    </row>
    <row r="138">
      <c r="A138" s="18" t="n">
        <v>46023.46944444445</v>
      </c>
      <c r="B138" s="19" t="n">
        <v>241.32</v>
      </c>
      <c r="C138" s="20" t="n">
        <v>106170.6</v>
      </c>
      <c r="D138" s="20" t="n">
        <v>89428</v>
      </c>
    </row>
    <row r="139">
      <c r="A139" s="18" t="n">
        <v>46023.47013888889</v>
      </c>
      <c r="B139" s="19" t="n">
        <v>240.76</v>
      </c>
      <c r="C139" s="20" t="n">
        <v>106174.6</v>
      </c>
      <c r="D139" s="20" t="n">
        <v>89428</v>
      </c>
    </row>
    <row r="140">
      <c r="A140" s="18" t="n">
        <v>46023.47083333333</v>
      </c>
      <c r="B140" s="19" t="n">
        <v>240.14</v>
      </c>
      <c r="C140" s="20" t="n">
        <v>106178.6</v>
      </c>
      <c r="D140" s="20" t="n">
        <v>89428</v>
      </c>
    </row>
    <row r="141">
      <c r="A141" s="18" t="n">
        <v>46023.47152777778</v>
      </c>
      <c r="B141" s="19" t="n">
        <v>239.52</v>
      </c>
      <c r="C141" s="20" t="n">
        <v>106182.6</v>
      </c>
      <c r="D141" s="20" t="n">
        <v>89428</v>
      </c>
    </row>
    <row r="142">
      <c r="A142" s="18" t="n">
        <v>46023.47222222222</v>
      </c>
      <c r="B142" s="19" t="n">
        <v>238.93</v>
      </c>
      <c r="C142" s="20" t="n">
        <v>106186.6</v>
      </c>
      <c r="D142" s="20" t="n">
        <v>89428</v>
      </c>
    </row>
    <row r="143">
      <c r="A143" s="18" t="n">
        <v>46023.47291666667</v>
      </c>
      <c r="B143" s="19" t="n">
        <v>238.4</v>
      </c>
      <c r="C143" s="20" t="n">
        <v>106190.6</v>
      </c>
      <c r="D143" s="20" t="n">
        <v>89428</v>
      </c>
    </row>
    <row r="144">
      <c r="A144" s="18" t="n">
        <v>46023.47361111111</v>
      </c>
      <c r="B144" s="19" t="n">
        <v>237.98</v>
      </c>
      <c r="C144" s="20" t="n">
        <v>106194.5</v>
      </c>
      <c r="D144" s="20" t="n">
        <v>89428</v>
      </c>
    </row>
    <row r="145">
      <c r="A145" s="18" t="n">
        <v>46023.47430555556</v>
      </c>
      <c r="B145" s="19" t="n">
        <v>237.68</v>
      </c>
      <c r="C145" s="20" t="n">
        <v>106198.5</v>
      </c>
      <c r="D145" s="20" t="n">
        <v>89428</v>
      </c>
    </row>
    <row r="146">
      <c r="A146" s="18" t="n">
        <v>46023.475</v>
      </c>
      <c r="B146" s="19" t="n">
        <v>237.52</v>
      </c>
      <c r="C146" s="20" t="n">
        <v>106202.4</v>
      </c>
      <c r="D146" s="20" t="n">
        <v>89428</v>
      </c>
    </row>
    <row r="147">
      <c r="A147" s="18" t="n">
        <v>46023.47569444445</v>
      </c>
      <c r="B147" s="19" t="n">
        <v>237.52</v>
      </c>
      <c r="C147" s="20" t="n">
        <v>106206.4</v>
      </c>
      <c r="D147" s="20" t="n">
        <v>89428</v>
      </c>
    </row>
    <row r="148">
      <c r="A148" s="18" t="n">
        <v>46023.47638888889</v>
      </c>
      <c r="B148" s="19" t="n">
        <v>237.67</v>
      </c>
      <c r="C148" s="20" t="n">
        <v>106210.4</v>
      </c>
      <c r="D148" s="20" t="n">
        <v>89428</v>
      </c>
    </row>
    <row r="149">
      <c r="A149" s="18" t="n">
        <v>46023.47708333333</v>
      </c>
      <c r="B149" s="19" t="n">
        <v>237.97</v>
      </c>
      <c r="C149" s="20" t="n">
        <v>106214.3</v>
      </c>
      <c r="D149" s="20" t="n">
        <v>89428</v>
      </c>
    </row>
    <row r="150">
      <c r="A150" s="18" t="n">
        <v>46023.47777777778</v>
      </c>
      <c r="B150" s="19" t="n">
        <v>238.39</v>
      </c>
      <c r="C150" s="20" t="n">
        <v>106218.3</v>
      </c>
      <c r="D150" s="20" t="n">
        <v>89428</v>
      </c>
    </row>
    <row r="151">
      <c r="A151" s="18" t="n">
        <v>46023.47847222222</v>
      </c>
      <c r="B151" s="19" t="n">
        <v>238.91</v>
      </c>
      <c r="C151" s="20" t="n">
        <v>106222.3</v>
      </c>
      <c r="D151" s="20" t="n">
        <v>89428</v>
      </c>
    </row>
    <row r="152">
      <c r="A152" s="18" t="n">
        <v>46023.47916666666</v>
      </c>
      <c r="B152" s="19" t="n">
        <v>239.51</v>
      </c>
      <c r="C152" s="20" t="n">
        <v>106226.3</v>
      </c>
      <c r="D152" s="20" t="n">
        <v>89428</v>
      </c>
    </row>
    <row r="153">
      <c r="A153" s="18" t="n">
        <v>46023.47986111111</v>
      </c>
      <c r="B153" s="19" t="n">
        <v>240.13</v>
      </c>
      <c r="C153" s="20" t="n">
        <v>106230.3</v>
      </c>
      <c r="D153" s="20" t="n">
        <v>89428</v>
      </c>
    </row>
    <row r="154">
      <c r="A154" s="18" t="n">
        <v>46023.48055555556</v>
      </c>
      <c r="B154" s="19" t="n">
        <v>240.74</v>
      </c>
      <c r="C154" s="20" t="n">
        <v>106234.3</v>
      </c>
      <c r="D154" s="20" t="n">
        <v>89428</v>
      </c>
    </row>
    <row r="155">
      <c r="A155" s="18" t="n">
        <v>46023.48125</v>
      </c>
      <c r="B155" s="19" t="n">
        <v>241.31</v>
      </c>
      <c r="C155" s="20" t="n">
        <v>106238.3</v>
      </c>
      <c r="D155" s="20" t="n">
        <v>89428</v>
      </c>
    </row>
    <row r="156">
      <c r="A156" s="18" t="n">
        <v>46023.48194444444</v>
      </c>
      <c r="B156" s="19" t="n">
        <v>241.79</v>
      </c>
      <c r="C156" s="20" t="n">
        <v>106242.3</v>
      </c>
      <c r="D156" s="20" t="n">
        <v>89428</v>
      </c>
    </row>
    <row r="157">
      <c r="A157" s="18" t="n">
        <v>46023.48263888889</v>
      </c>
      <c r="B157" s="19" t="n">
        <v>242.17</v>
      </c>
      <c r="C157" s="20" t="n">
        <v>106246.4</v>
      </c>
      <c r="D157" s="20" t="n">
        <v>89428</v>
      </c>
    </row>
    <row r="158">
      <c r="A158" s="18" t="n">
        <v>46023.48333333333</v>
      </c>
      <c r="B158" s="19" t="n">
        <v>242.41</v>
      </c>
      <c r="C158" s="20" t="n">
        <v>106250.4</v>
      </c>
      <c r="D158" s="20" t="n">
        <v>89428</v>
      </c>
    </row>
    <row r="159">
      <c r="A159" s="18" t="n">
        <v>46023.48402777778</v>
      </c>
      <c r="B159" s="19" t="n">
        <v>242.5</v>
      </c>
      <c r="C159" s="20" t="n">
        <v>106254.5</v>
      </c>
      <c r="D159" s="20" t="n">
        <v>89428</v>
      </c>
    </row>
    <row r="160">
      <c r="A160" s="18" t="n">
        <v>46023.48472222222</v>
      </c>
      <c r="B160" s="19" t="n">
        <v>242.43</v>
      </c>
      <c r="C160" s="20" t="n">
        <v>106258.5</v>
      </c>
      <c r="D160" s="20" t="n">
        <v>89428</v>
      </c>
    </row>
    <row r="161">
      <c r="A161" s="18" t="n">
        <v>46023.48541666667</v>
      </c>
      <c r="B161" s="19" t="n">
        <v>242.22</v>
      </c>
      <c r="C161" s="20" t="n">
        <v>106262.5</v>
      </c>
      <c r="D161" s="20" t="n">
        <v>89428</v>
      </c>
    </row>
    <row r="162">
      <c r="A162" s="18" t="n">
        <v>46023.48611111111</v>
      </c>
      <c r="B162" s="19" t="n">
        <v>241.86</v>
      </c>
      <c r="C162" s="20" t="n">
        <v>106266.6</v>
      </c>
      <c r="D162" s="20" t="n">
        <v>89428</v>
      </c>
    </row>
    <row r="163">
      <c r="A163" s="18" t="n">
        <v>46023.48680555556</v>
      </c>
      <c r="B163" s="19" t="n">
        <v>241.39</v>
      </c>
      <c r="C163" s="20" t="n">
        <v>106270.6</v>
      </c>
      <c r="D163" s="20" t="n">
        <v>89428</v>
      </c>
    </row>
    <row r="164">
      <c r="A164" s="18" t="n">
        <v>46023.4875</v>
      </c>
      <c r="B164" s="19" t="n">
        <v>240.84</v>
      </c>
      <c r="C164" s="20" t="n">
        <v>106274.6</v>
      </c>
      <c r="D164" s="20" t="n">
        <v>89428</v>
      </c>
    </row>
    <row r="165">
      <c r="A165" s="18" t="n">
        <v>46023.48819444444</v>
      </c>
      <c r="B165" s="19" t="n">
        <v>240.23</v>
      </c>
      <c r="C165" s="20" t="n">
        <v>106278.6</v>
      </c>
      <c r="D165" s="20" t="n">
        <v>89428</v>
      </c>
    </row>
    <row r="166">
      <c r="A166" s="18" t="n">
        <v>46023.48888888889</v>
      </c>
      <c r="B166" s="19" t="n">
        <v>239.6</v>
      </c>
      <c r="C166" s="20" t="n">
        <v>106282.6</v>
      </c>
      <c r="D166" s="20" t="n">
        <v>89428</v>
      </c>
    </row>
    <row r="167">
      <c r="A167" s="18" t="n">
        <v>46023.48958333334</v>
      </c>
      <c r="B167" s="19" t="n">
        <v>239.01</v>
      </c>
      <c r="C167" s="20" t="n">
        <v>106286.6</v>
      </c>
      <c r="D167" s="20" t="n">
        <v>89428</v>
      </c>
    </row>
    <row r="168">
      <c r="A168" s="18" t="n">
        <v>46023.49027777778</v>
      </c>
      <c r="B168" s="19" t="n">
        <v>240</v>
      </c>
      <c r="C168" s="20" t="n">
        <v>106290.6</v>
      </c>
      <c r="D168" s="20" t="n">
        <v>89428</v>
      </c>
    </row>
    <row r="169">
      <c r="A169" s="18" t="n">
        <v>46023.49097222222</v>
      </c>
      <c r="B169" s="19" t="n">
        <v>223</v>
      </c>
      <c r="C169" s="20" t="n">
        <v>106294.3</v>
      </c>
      <c r="D169" s="20" t="n">
        <v>89428</v>
      </c>
    </row>
    <row r="170">
      <c r="A170" s="18" t="n">
        <v>46023.49166666667</v>
      </c>
      <c r="B170" s="19" t="n">
        <v>206</v>
      </c>
      <c r="C170" s="20" t="n">
        <v>106297.7</v>
      </c>
      <c r="D170" s="20" t="n">
        <v>89428</v>
      </c>
    </row>
    <row r="171">
      <c r="A171" s="18" t="n">
        <v>46023.49236111111</v>
      </c>
      <c r="B171" s="19" t="n">
        <v>189</v>
      </c>
      <c r="C171" s="20" t="n">
        <v>106300.9</v>
      </c>
      <c r="D171" s="20" t="n">
        <v>89428</v>
      </c>
    </row>
    <row r="172">
      <c r="A172" s="18" t="n">
        <v>46023.49305555555</v>
      </c>
      <c r="B172" s="19" t="n">
        <v>172</v>
      </c>
      <c r="C172" s="20" t="n">
        <v>106303.8</v>
      </c>
      <c r="D172" s="20" t="n">
        <v>89428</v>
      </c>
    </row>
    <row r="173">
      <c r="A173" s="18" t="n">
        <v>46023.49375</v>
      </c>
      <c r="B173" s="19" t="n">
        <v>155</v>
      </c>
      <c r="C173" s="20" t="n">
        <v>106306.3</v>
      </c>
      <c r="D173" s="20" t="n">
        <v>89428</v>
      </c>
    </row>
    <row r="174">
      <c r="A174" s="18" t="n">
        <v>46023.49444444444</v>
      </c>
      <c r="B174" s="19" t="n">
        <v>138</v>
      </c>
      <c r="C174" s="20" t="n">
        <v>106308.6</v>
      </c>
      <c r="D174" s="20" t="n">
        <v>89428</v>
      </c>
    </row>
    <row r="175">
      <c r="A175" s="18" t="n">
        <v>46023.49513888889</v>
      </c>
      <c r="B175" s="19" t="n">
        <v>121</v>
      </c>
      <c r="C175" s="20" t="n">
        <v>106310.7</v>
      </c>
      <c r="D175" s="20" t="n">
        <v>89428</v>
      </c>
    </row>
    <row r="176">
      <c r="A176" s="18" t="n">
        <v>46023.49583333333</v>
      </c>
      <c r="B176" s="19" t="n">
        <v>104</v>
      </c>
      <c r="C176" s="20" t="n">
        <v>106312.4</v>
      </c>
      <c r="D176" s="20" t="n">
        <v>89428</v>
      </c>
    </row>
    <row r="177">
      <c r="A177" s="18" t="n">
        <v>46023.49652777778</v>
      </c>
      <c r="B177" s="19" t="n">
        <v>87</v>
      </c>
      <c r="C177" s="20" t="n">
        <v>106313.8</v>
      </c>
      <c r="D177" s="20" t="n">
        <v>89428</v>
      </c>
    </row>
    <row r="178">
      <c r="A178" s="18" t="n">
        <v>46023.49722222222</v>
      </c>
      <c r="B178" s="19" t="n">
        <v>70</v>
      </c>
      <c r="C178" s="20" t="n">
        <v>106315</v>
      </c>
      <c r="D178" s="20" t="n">
        <v>89428</v>
      </c>
    </row>
    <row r="179">
      <c r="A179" s="18" t="n">
        <v>46023.49791666667</v>
      </c>
      <c r="B179" s="19" t="n">
        <v>53</v>
      </c>
      <c r="C179" s="20" t="n">
        <v>106315.9</v>
      </c>
      <c r="D179" s="20" t="n">
        <v>89428</v>
      </c>
    </row>
    <row r="180">
      <c r="A180" s="18" t="n">
        <v>46023.49861111111</v>
      </c>
      <c r="B180" s="19" t="n">
        <v>36</v>
      </c>
      <c r="C180" s="20" t="n">
        <v>106316.5</v>
      </c>
      <c r="D180" s="20" t="n">
        <v>89428</v>
      </c>
    </row>
    <row r="181">
      <c r="A181" s="18" t="n">
        <v>46023.49930555555</v>
      </c>
      <c r="B181" s="19" t="n">
        <v>19</v>
      </c>
      <c r="C181" s="20" t="n">
        <v>106316.8</v>
      </c>
      <c r="D181" s="20" t="n">
        <v>89428</v>
      </c>
    </row>
  </sheetData>
  <pageMargins left="0.4" right="0.4" top="0.5" bottom="0.5" header="0.5" footer="0.5"/>
  <pageSetup orientation="landscape" paperSize="9" fitToHeight="0" fitToWidth="1"/>
  <headerFooter>
    <oddHeader/>
    <oddFooter>&amp;L&amp;8 ESS Charge / Discharge Report&amp;R&amp;8 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ESS Report Toolkit</dc:creator>
  <dc:title>ESS Charge / Discharge Report Template</dc:title>
  <dcterms:created xsi:type="dcterms:W3CDTF">2026-08-06T08:14:56Z</dcterms:created>
  <dcterms:modified xsi:type="dcterms:W3CDTF">2026-08-06T08:14:56Z</dcterms:modified>
</cp:coreProperties>
</file>